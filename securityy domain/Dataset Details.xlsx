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njunair/Library/CloudStorage/OneDrive-iiit-b/PhD/Research/SLM/"/>
    </mc:Choice>
  </mc:AlternateContent>
  <xr:revisionPtr revIDLastSave="0" documentId="13_ncr:1_{E22841B4-74B8-614C-80D0-BCDB9C55F27E}" xr6:coauthVersionLast="47" xr6:coauthVersionMax="47" xr10:uidLastSave="{00000000-0000-0000-0000-000000000000}"/>
  <bookViews>
    <workbookView xWindow="37680" yWindow="500" windowWidth="34560" windowHeight="19960" xr2:uid="{0E1190FF-9D97-D24D-B694-3124623CE996}"/>
  </bookViews>
  <sheets>
    <sheet name="Sheet1" sheetId="1" r:id="rId1"/>
    <sheet name="Sheet3" sheetId="3" r:id="rId2"/>
    <sheet name="Sheet4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3" l="1"/>
</calcChain>
</file>

<file path=xl/sharedStrings.xml><?xml version="1.0" encoding="utf-8"?>
<sst xmlns="http://schemas.openxmlformats.org/spreadsheetml/2006/main" count="145" uniqueCount="111">
  <si>
    <t>Dataset</t>
  </si>
  <si>
    <t>Link</t>
  </si>
  <si>
    <t>Citation</t>
  </si>
  <si>
    <t>primus seed</t>
  </si>
  <si>
    <t>https://huggingface.co/datasets/trend-cybertron/Primus-Seed</t>
  </si>
  <si>
    <t>https://huggingface.co/datasets/trendmicro-ailab/Primus-Reasoning</t>
  </si>
  <si>
    <t>Primus-Reasoning</t>
  </si>
  <si>
    <t>Size</t>
  </si>
  <si>
    <t>Details</t>
  </si>
  <si>
    <t>trendmicro-ailab/Primus-Instruct</t>
  </si>
  <si>
    <t>https://huggingface.co/datasets/trendmicro-ailab/Primus-Instruct</t>
  </si>
  <si>
    <t>trendmicro-ailab/Primus-FineWeb</t>
  </si>
  <si>
    <t>https://huggingface.co/datasets/trendmicro-ailab/Primus-FineWeb</t>
  </si>
  <si>
    <t>Instruction Tuning</t>
  </si>
  <si>
    <t>Phase</t>
  </si>
  <si>
    <t>Data Size (Tokens)</t>
  </si>
  <si>
    <t>Estimated Time (Hours)</t>
  </si>
  <si>
    <t>Estimated Time (Days)</t>
  </si>
  <si>
    <t>Pre-training</t>
  </si>
  <si>
    <t>1T</t>
  </si>
  <si>
    <t>20B</t>
  </si>
  <si>
    <t>Use Case-Specific Fine-Tuning</t>
  </si>
  <si>
    <t>12B</t>
  </si>
  <si>
    <t>4 X H100</t>
  </si>
  <si>
    <t xml:space="preserve">Forward KL </t>
  </si>
  <si>
    <t>Reverse KL</t>
  </si>
  <si>
    <t>Min</t>
  </si>
  <si>
    <t>Max</t>
  </si>
  <si>
    <t>Mode Covering / Stretch to cover P</t>
  </si>
  <si>
    <t>Mode Seeking / Squeese Q</t>
  </si>
  <si>
    <t>Fails to cover more complex P</t>
  </si>
  <si>
    <t>Missing P’s mass is heavily penalized by forward-KL / Fails to cover a more complex P</t>
  </si>
  <si>
    <t>When P is more complex than Q--&gt; Spread Q more broadly</t>
  </si>
  <si>
    <t>Mode-dropping / Reverse-KL can focus on a subset of modes (mode-seeking)</t>
  </si>
  <si>
    <t>If Q puts mass where P=0, reverse KL Penalizes strongly / Zero-forcing discourages assigning mass off P’s support.</t>
  </si>
  <si>
    <t>A model trained with forward KL is likely to Capture all modes, maybe over-dispersed</t>
  </si>
  <si>
    <t>Reverse-KL “squeezes” Q under high-density regions of P/ Mode-seeking (squeeze Q)</t>
  </si>
  <si>
    <t>Forward-KL penalizes missing support of P → covering./ Minimizing forward KL(P‖Q) tends to make Q Mode-covering (stretch to cover P)</t>
  </si>
  <si>
    <t>Definition</t>
  </si>
  <si>
    <t xml:space="preserve">Reverse-KL avoids assigning mass where P has none / Forcing Q(z)=0 where P(z)=0 / “Zero-forcing” </t>
  </si>
  <si>
    <t>Assigning mass where P=0</t>
  </si>
  <si>
    <t>morpheuslord/cve-llm-training</t>
  </si>
  <si>
    <t>https://huggingface.co/datasets/morpheuslord/cve-llm-training</t>
  </si>
  <si>
    <t>AlicanKiraz0/Cybersecurity-Dataset-v1</t>
  </si>
  <si>
    <t>https://huggingface.co/datasets/AlicanKiraz0/Cybersecurity-Dataset-v1/blob/main/cybersecurity-dataset-train-data.parquet</t>
  </si>
  <si>
    <t>AlicanKiraz0/Cybersecurity-Dataset-Heimdall-v1.1</t>
  </si>
  <si>
    <t>https://huggingface.co/datasets/AlicanKiraz0/Cybersecurity-Dataset-Heimdall-v1.1</t>
  </si>
  <si>
    <t>darkknight25/Multilingual_Jailbreak_Dataset</t>
  </si>
  <si>
    <t>https://huggingface.co/datasets/darkknight25/Multilingual_Jailbreak_Dataset</t>
  </si>
  <si>
    <t>harleygilpin/soc-audit-11k</t>
  </si>
  <si>
    <t>https://huggingface.co/datasets/harleygilpin/soc-audit-11k</t>
  </si>
  <si>
    <t>unibuc-cs/CyberGuardianDataset</t>
  </si>
  <si>
    <t>https://huggingface.co/datasets/unibuc-cs/CyberGuardianDataset</t>
  </si>
  <si>
    <t>witfoo/syslog-to-artifact</t>
  </si>
  <si>
    <t>https://huggingface.co/datasets/witfoo/syslog-to-artifact</t>
  </si>
  <si>
    <t>witfoo/witfoo-incidents</t>
  </si>
  <si>
    <t>https://huggingface.co/datasets/witfoo/witfoo-incidents</t>
  </si>
  <si>
    <t>tegridydev/open-malsec</t>
  </si>
  <si>
    <t>https://huggingface.co/datasets/tegridydev/open-malsec/tree/main</t>
  </si>
  <si>
    <t>boluwajioadepoju/CyberSec</t>
  </si>
  <si>
    <t>https://huggingface.co/datasets/boluwajioadepoju/CyberSec/tree/main</t>
  </si>
  <si>
    <t>Trendyol/Trendyol-Cybersecurity-Instruction-Tuning-Dataset</t>
  </si>
  <si>
    <t>https://huggingface.co/datasets/Trendyol/Trendyol-Cybersecurity-Instruction-Tuning-Dataset</t>
  </si>
  <si>
    <t>ErebusTN/The-Ultimate-CyberSecurity-Dataset-Collection</t>
  </si>
  <si>
    <t>https://huggingface.co/datasets/ErebusTN/The-Ultimate-CyberSecurity-Dataset-Collection</t>
  </si>
  <si>
    <t>Canstralian/Purple-Team-Cybersecurity-Dataset</t>
  </si>
  <si>
    <t>https://huggingface.co/datasets/Canstralian/Purple-Team-Cybersecurity-Dataset</t>
  </si>
  <si>
    <t>jason-oneal/mitre-stix-cve-exploitdb-dataset</t>
  </si>
  <si>
    <t>https://huggingface.co/datasets/jason-oneal/mitre-stix-cve-exploitdb-dataset/tree/main</t>
  </si>
  <si>
    <t>sambanovasystems/attackqa</t>
  </si>
  <si>
    <t>https://huggingface.co/datasets/sambanovasystems/attackqa</t>
  </si>
  <si>
    <t>7h3-R3v3n4n7/pentest-agent-dataset-chatml</t>
  </si>
  <si>
    <t>https://huggingface.co/datasets/7h3-R3v3n4n7/pentest-agent-dataset-chatml</t>
  </si>
  <si>
    <t>daqc/vulnerability-intelligence-diagrammatic-reasoning</t>
  </si>
  <si>
    <t>https://huggingface.co/datasets/daqc/vulnerability-intelligence-diagrammatic-reasoning</t>
  </si>
  <si>
    <t>https://www.kaggle.com/datasets/zobayer0x01/cybersecurity-qa</t>
  </si>
  <si>
    <t>cybersecurity-qa</t>
  </si>
  <si>
    <t>https://github.com/Malware-Hunter/MH-100K-dataset</t>
  </si>
  <si>
    <t>Malware-Hunter/MH-100K-dataset</t>
  </si>
  <si>
    <t>https://figshare.com/articles/dataset/Android_malware_dataset_for_machine_learning_1/5854590</t>
  </si>
  <si>
    <t>Android Malware Dataset for Machine Learning</t>
  </si>
  <si>
    <t>https://www.kaggle.com/datasets/albertozorzetto/cic-andmal-2020-dynamic-static-analysis</t>
  </si>
  <si>
    <t>[CIC-AndMal-2020] Static-Dynamic Malware analysis</t>
  </si>
  <si>
    <t>English</t>
  </si>
  <si>
    <t>Security</t>
  </si>
  <si>
    <t>IQSeC-Lab/LAMDA</t>
  </si>
  <si>
    <t>https://huggingface.co/datasets/IQSeC-Lab/LAMDA</t>
  </si>
  <si>
    <t>https://github.com/s2labres/tesseract-ml-release</t>
  </si>
  <si>
    <t>s2labres/tesseract-ml-release</t>
  </si>
  <si>
    <t>https://zenodo.org/records/14884736</t>
  </si>
  <si>
    <t xml:space="preserve">context-driven android malware detection and classification </t>
  </si>
  <si>
    <t>https://huggingface.co/datasets/arxiv-community/arxiv_dataset</t>
  </si>
  <si>
    <t>arxiv-community/arxiv_dataset</t>
  </si>
  <si>
    <t>TBD</t>
  </si>
  <si>
    <t>https://source.android.com/docs/security/bulletin</t>
  </si>
  <si>
    <t>Android Security Bullettin</t>
  </si>
  <si>
    <t>Use only text from here</t>
  </si>
  <si>
    <t>https://huggingface.co/datasets/Mr-Vicky-01/Security-QnA</t>
  </si>
  <si>
    <t>Mr-Vicky-01/Security-QnA</t>
  </si>
  <si>
    <t>https://huggingface.co/datasets/sjsq/PrivacyPolicy</t>
  </si>
  <si>
    <t>sjsq/PrivacyPolicy</t>
  </si>
  <si>
    <t>https://zenodo.org/records/268515</t>
  </si>
  <si>
    <t>Android System Call</t>
  </si>
  <si>
    <t>https://github.com/AsmaLif/TwinDroid-dataset</t>
  </si>
  <si>
    <t>AsmaLif/TwinDroid-dataset</t>
  </si>
  <si>
    <t>https://github.com/Infsys-lab/privacy-glue</t>
  </si>
  <si>
    <t>infsys-lab/privacy-glue</t>
  </si>
  <si>
    <t>https://huggingface.co/datasets/schooly/Cyber-Security-Breaches</t>
  </si>
  <si>
    <t>schooly/Cyber-Security-Breaches</t>
  </si>
  <si>
    <t>https://huggingface.co/datasets/AlicanKiraz0/All-CVE-Records-Training-Dataset</t>
  </si>
  <si>
    <t>AlicanKiraz0/All-CVE-Records-Training-Dataset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</si>
</sst>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1"/>
    <xf numFmtId="0" fontId="1" fillId="2" borderId="2" xfId="1" applyBorder="1"/>
    <xf numFmtId="0" fontId="3" fillId="0" borderId="0" xfId="2"/>
    <xf numFmtId="0" fontId="0" fillId="0" borderId="0" xfId="0" applyAlignment="1">
      <alignment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3" xfId="0" applyFill="1" applyBorder="1" applyAlignment="1">
      <alignment horizontal="center" vertical="center" wrapText="1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uggingface.co/datasets/tegridydev/open-malsec/tree/main" TargetMode="External"/><Relationship Id="rId18" Type="http://schemas.openxmlformats.org/officeDocument/2006/relationships/hyperlink" Target="https://huggingface.co/datasets/jason-oneal/mitre-stix-cve-exploitdb-dataset/tree/main" TargetMode="External"/><Relationship Id="rId26" Type="http://schemas.openxmlformats.org/officeDocument/2006/relationships/hyperlink" Target="https://huggingface.co/datasets/IQSeC-Lab/LAMDA" TargetMode="External"/><Relationship Id="rId21" Type="http://schemas.openxmlformats.org/officeDocument/2006/relationships/hyperlink" Target="https://huggingface.co/datasets/daqc/vulnerability-intelligence-diagrammatic-reasoning" TargetMode="External"/><Relationship Id="rId34" Type="http://schemas.openxmlformats.org/officeDocument/2006/relationships/hyperlink" Target="https://github.com/AsmaLif/TwinDroid-dataset" TargetMode="External"/><Relationship Id="rId7" Type="http://schemas.openxmlformats.org/officeDocument/2006/relationships/hyperlink" Target="https://huggingface.co/datasets/AlicanKiraz0/Cybersecurity-Dataset-Heimdall-v1.1" TargetMode="External"/><Relationship Id="rId12" Type="http://schemas.openxmlformats.org/officeDocument/2006/relationships/hyperlink" Target="https://huggingface.co/datasets/witfoo/witfoo-incidents" TargetMode="External"/><Relationship Id="rId17" Type="http://schemas.openxmlformats.org/officeDocument/2006/relationships/hyperlink" Target="https://huggingface.co/datasets/Canstralian/Purple-Team-Cybersecurity-Dataset" TargetMode="External"/><Relationship Id="rId25" Type="http://schemas.openxmlformats.org/officeDocument/2006/relationships/hyperlink" Target="https://www.kaggle.com/datasets/albertozorzetto/cic-andmal-2020-dynamic-static-analysis" TargetMode="External"/><Relationship Id="rId33" Type="http://schemas.openxmlformats.org/officeDocument/2006/relationships/hyperlink" Target="https://zenodo.org/records/268515" TargetMode="External"/><Relationship Id="rId2" Type="http://schemas.openxmlformats.org/officeDocument/2006/relationships/hyperlink" Target="https://huggingface.co/datasets/trendmicro-ailab/Primus-FineWeb" TargetMode="External"/><Relationship Id="rId16" Type="http://schemas.openxmlformats.org/officeDocument/2006/relationships/hyperlink" Target="https://huggingface.co/datasets/ErebusTN/The-Ultimate-CyberSecurity-Dataset-Collection" TargetMode="External"/><Relationship Id="rId20" Type="http://schemas.openxmlformats.org/officeDocument/2006/relationships/hyperlink" Target="https://huggingface.co/datasets/7h3-R3v3n4n7/pentest-agent-dataset-chatml" TargetMode="External"/><Relationship Id="rId29" Type="http://schemas.openxmlformats.org/officeDocument/2006/relationships/hyperlink" Target="https://huggingface.co/datasets/arxiv-community/arxiv_dataset" TargetMode="External"/><Relationship Id="rId1" Type="http://schemas.openxmlformats.org/officeDocument/2006/relationships/hyperlink" Target="https://huggingface.co/datasets/trendmicro-ailab/Primus-Instruct" TargetMode="External"/><Relationship Id="rId6" Type="http://schemas.openxmlformats.org/officeDocument/2006/relationships/hyperlink" Target="https://huggingface.co/datasets/AlicanKiraz0/Cybersecurity-Dataset-v1/blob/main/cybersecurity-dataset-train-data.parquet" TargetMode="External"/><Relationship Id="rId11" Type="http://schemas.openxmlformats.org/officeDocument/2006/relationships/hyperlink" Target="https://huggingface.co/datasets/witfoo/syslog-to-artifact" TargetMode="External"/><Relationship Id="rId24" Type="http://schemas.openxmlformats.org/officeDocument/2006/relationships/hyperlink" Target="https://figshare.com/articles/dataset/Android_malware_dataset_for_machine_learning_1/5854590" TargetMode="External"/><Relationship Id="rId32" Type="http://schemas.openxmlformats.org/officeDocument/2006/relationships/hyperlink" Target="https://huggingface.co/datasets/sjsq/PrivacyPolicy" TargetMode="External"/><Relationship Id="rId37" Type="http://schemas.openxmlformats.org/officeDocument/2006/relationships/hyperlink" Target="https://huggingface.co/datasets/AlicanKiraz0/All-CVE-Records-Training-Dataset" TargetMode="External"/><Relationship Id="rId5" Type="http://schemas.openxmlformats.org/officeDocument/2006/relationships/hyperlink" Target="https://huggingface.co/datasets/morpheuslord/cve-llm-training" TargetMode="External"/><Relationship Id="rId15" Type="http://schemas.openxmlformats.org/officeDocument/2006/relationships/hyperlink" Target="https://huggingface.co/datasets/Trendyol/Trendyol-Cybersecurity-Instruction-Tuning-Dataset" TargetMode="External"/><Relationship Id="rId23" Type="http://schemas.openxmlformats.org/officeDocument/2006/relationships/hyperlink" Target="https://github.com/Malware-Hunter/MH-100K-dataset" TargetMode="External"/><Relationship Id="rId28" Type="http://schemas.openxmlformats.org/officeDocument/2006/relationships/hyperlink" Target="https://zenodo.org/records/14884736" TargetMode="External"/><Relationship Id="rId36" Type="http://schemas.openxmlformats.org/officeDocument/2006/relationships/hyperlink" Target="https://huggingface.co/datasets/schooly/Cyber-Security-Breaches" TargetMode="External"/><Relationship Id="rId10" Type="http://schemas.openxmlformats.org/officeDocument/2006/relationships/hyperlink" Target="https://huggingface.co/datasets/unibuc-cs/CyberGuardianDataset" TargetMode="External"/><Relationship Id="rId19" Type="http://schemas.openxmlformats.org/officeDocument/2006/relationships/hyperlink" Target="https://huggingface.co/datasets/sambanovasystems/attackqa" TargetMode="External"/><Relationship Id="rId31" Type="http://schemas.openxmlformats.org/officeDocument/2006/relationships/hyperlink" Target="https://huggingface.co/datasets/Mr-Vicky-01/Security-QnA" TargetMode="External"/><Relationship Id="rId4" Type="http://schemas.openxmlformats.org/officeDocument/2006/relationships/hyperlink" Target="https://huggingface.co/datasets/trendmicro-ailab/Primus-Reasoning" TargetMode="External"/><Relationship Id="rId9" Type="http://schemas.openxmlformats.org/officeDocument/2006/relationships/hyperlink" Target="https://huggingface.co/datasets/harleygilpin/soc-audit-11k" TargetMode="External"/><Relationship Id="rId14" Type="http://schemas.openxmlformats.org/officeDocument/2006/relationships/hyperlink" Target="https://huggingface.co/datasets/boluwajioadepoju/CyberSec/tree/main" TargetMode="External"/><Relationship Id="rId22" Type="http://schemas.openxmlformats.org/officeDocument/2006/relationships/hyperlink" Target="https://www.kaggle.com/datasets/zobayer0x01/cybersecurity-qa" TargetMode="External"/><Relationship Id="rId27" Type="http://schemas.openxmlformats.org/officeDocument/2006/relationships/hyperlink" Target="https://github.com/s2labres/tesseract-ml-release" TargetMode="External"/><Relationship Id="rId30" Type="http://schemas.openxmlformats.org/officeDocument/2006/relationships/hyperlink" Target="https://source.android.com/docs/security/bulletin" TargetMode="External"/><Relationship Id="rId35" Type="http://schemas.openxmlformats.org/officeDocument/2006/relationships/hyperlink" Target="https://github.com/Infsys-lab/privacy-glue" TargetMode="External"/><Relationship Id="rId8" Type="http://schemas.openxmlformats.org/officeDocument/2006/relationships/hyperlink" Target="https://huggingface.co/datasets/darkknight25/Multilingual_Jailbreak_Dataset" TargetMode="External"/><Relationship Id="rId3" Type="http://schemas.openxmlformats.org/officeDocument/2006/relationships/hyperlink" Target="https://huggingface.co/datasets/trend-cybertron/Primus-S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AFB8-51CE-FE4A-8E5D-FA18DBF5A95A}">
  <dimension ref="A1:F38"/>
  <sheetViews>
    <sheetView tabSelected="1" workbookViewId="0">
      <selection activeCell="C42" sqref="C42"/>
    </sheetView>
  </sheetViews>
  <sheetFormatPr baseColWidth="10" defaultRowHeight="16" x14ac:dyDescent="0.2"/>
  <cols>
    <col min="1" max="1" width="51.1640625" bestFit="1" customWidth="1"/>
    <col min="2" max="2" width="106" bestFit="1" customWidth="1"/>
    <col min="3" max="3" width="16.83203125" customWidth="1"/>
    <col min="4" max="4" width="28.83203125" customWidth="1"/>
  </cols>
  <sheetData>
    <row r="1" spans="1:6" ht="18" thickTop="1" thickBot="1" x14ac:dyDescent="0.25">
      <c r="A1" s="1" t="s">
        <v>0</v>
      </c>
      <c r="B1" s="1" t="s">
        <v>1</v>
      </c>
      <c r="C1" s="1"/>
      <c r="D1" s="1" t="s">
        <v>8</v>
      </c>
      <c r="E1" s="1" t="s">
        <v>2</v>
      </c>
      <c r="F1" s="2" t="s">
        <v>7</v>
      </c>
    </row>
    <row r="2" spans="1:6" ht="17" thickTop="1" x14ac:dyDescent="0.2">
      <c r="A2" t="s">
        <v>3</v>
      </c>
      <c r="B2" s="3" t="s">
        <v>4</v>
      </c>
      <c r="C2" t="s">
        <v>83</v>
      </c>
    </row>
    <row r="3" spans="1:6" x14ac:dyDescent="0.2">
      <c r="A3" t="s">
        <v>6</v>
      </c>
      <c r="B3" s="3" t="s">
        <v>5</v>
      </c>
      <c r="C3" t="s">
        <v>83</v>
      </c>
    </row>
    <row r="4" spans="1:6" x14ac:dyDescent="0.2">
      <c r="A4" t="s">
        <v>9</v>
      </c>
      <c r="B4" s="3" t="s">
        <v>10</v>
      </c>
      <c r="C4" t="s">
        <v>83</v>
      </c>
    </row>
    <row r="5" spans="1:6" x14ac:dyDescent="0.2">
      <c r="A5" t="s">
        <v>11</v>
      </c>
      <c r="B5" s="3" t="s">
        <v>12</v>
      </c>
      <c r="C5" t="s">
        <v>83</v>
      </c>
    </row>
    <row r="6" spans="1:6" ht="17" x14ac:dyDescent="0.2">
      <c r="A6" s="4" t="s">
        <v>41</v>
      </c>
      <c r="B6" s="3" t="s">
        <v>42</v>
      </c>
      <c r="C6" t="s">
        <v>84</v>
      </c>
    </row>
    <row r="7" spans="1:6" x14ac:dyDescent="0.2">
      <c r="A7" t="s">
        <v>43</v>
      </c>
      <c r="B7" s="3" t="s">
        <v>44</v>
      </c>
      <c r="C7" t="s">
        <v>84</v>
      </c>
    </row>
    <row r="8" spans="1:6" x14ac:dyDescent="0.2">
      <c r="A8" t="s">
        <v>45</v>
      </c>
      <c r="B8" s="3" t="s">
        <v>46</v>
      </c>
      <c r="C8" t="s">
        <v>84</v>
      </c>
    </row>
    <row r="9" spans="1:6" x14ac:dyDescent="0.2">
      <c r="A9" t="s">
        <v>47</v>
      </c>
      <c r="B9" s="3" t="s">
        <v>48</v>
      </c>
      <c r="C9" t="s">
        <v>84</v>
      </c>
    </row>
    <row r="10" spans="1:6" x14ac:dyDescent="0.2">
      <c r="A10" t="s">
        <v>49</v>
      </c>
      <c r="B10" s="3" t="s">
        <v>50</v>
      </c>
      <c r="C10" t="s">
        <v>84</v>
      </c>
    </row>
    <row r="11" spans="1:6" x14ac:dyDescent="0.2">
      <c r="A11" t="s">
        <v>51</v>
      </c>
      <c r="B11" s="3" t="s">
        <v>52</v>
      </c>
      <c r="C11" t="s">
        <v>84</v>
      </c>
    </row>
    <row r="12" spans="1:6" x14ac:dyDescent="0.2">
      <c r="A12" t="s">
        <v>53</v>
      </c>
      <c r="B12" s="3" t="s">
        <v>54</v>
      </c>
      <c r="C12" t="s">
        <v>84</v>
      </c>
    </row>
    <row r="13" spans="1:6" x14ac:dyDescent="0.2">
      <c r="A13" t="s">
        <v>55</v>
      </c>
      <c r="B13" s="3" t="s">
        <v>56</v>
      </c>
      <c r="C13" t="s">
        <v>84</v>
      </c>
    </row>
    <row r="14" spans="1:6" x14ac:dyDescent="0.2">
      <c r="A14" t="s">
        <v>57</v>
      </c>
      <c r="B14" s="3" t="s">
        <v>58</v>
      </c>
      <c r="C14" t="s">
        <v>84</v>
      </c>
    </row>
    <row r="15" spans="1:6" x14ac:dyDescent="0.2">
      <c r="A15" t="s">
        <v>59</v>
      </c>
      <c r="B15" s="3" t="s">
        <v>60</v>
      </c>
      <c r="C15" t="s">
        <v>84</v>
      </c>
    </row>
    <row r="16" spans="1:6" x14ac:dyDescent="0.2">
      <c r="A16" t="s">
        <v>61</v>
      </c>
      <c r="B16" s="3" t="s">
        <v>62</v>
      </c>
      <c r="C16" t="s">
        <v>84</v>
      </c>
    </row>
    <row r="17" spans="1:4" x14ac:dyDescent="0.2">
      <c r="A17" t="s">
        <v>63</v>
      </c>
      <c r="B17" s="3" t="s">
        <v>64</v>
      </c>
      <c r="C17" t="s">
        <v>84</v>
      </c>
    </row>
    <row r="18" spans="1:4" x14ac:dyDescent="0.2">
      <c r="A18" t="s">
        <v>65</v>
      </c>
      <c r="B18" s="3" t="s">
        <v>66</v>
      </c>
      <c r="C18" t="s">
        <v>84</v>
      </c>
    </row>
    <row r="19" spans="1:4" x14ac:dyDescent="0.2">
      <c r="A19" t="s">
        <v>67</v>
      </c>
      <c r="B19" s="3" t="s">
        <v>68</v>
      </c>
      <c r="C19" t="s">
        <v>84</v>
      </c>
    </row>
    <row r="20" spans="1:4" x14ac:dyDescent="0.2">
      <c r="A20" t="s">
        <v>69</v>
      </c>
      <c r="B20" s="3" t="s">
        <v>70</v>
      </c>
      <c r="C20" t="s">
        <v>84</v>
      </c>
    </row>
    <row r="21" spans="1:4" x14ac:dyDescent="0.2">
      <c r="A21" t="s">
        <v>71</v>
      </c>
      <c r="B21" s="3" t="s">
        <v>72</v>
      </c>
      <c r="C21" t="s">
        <v>84</v>
      </c>
    </row>
    <row r="22" spans="1:4" x14ac:dyDescent="0.2">
      <c r="A22" t="s">
        <v>73</v>
      </c>
      <c r="B22" s="3" t="s">
        <v>74</v>
      </c>
      <c r="C22" t="s">
        <v>84</v>
      </c>
    </row>
    <row r="23" spans="1:4" x14ac:dyDescent="0.2">
      <c r="A23" t="s">
        <v>76</v>
      </c>
      <c r="B23" s="3" t="s">
        <v>75</v>
      </c>
      <c r="C23" t="s">
        <v>84</v>
      </c>
    </row>
    <row r="24" spans="1:4" x14ac:dyDescent="0.2">
      <c r="A24" t="s">
        <v>78</v>
      </c>
      <c r="B24" s="3" t="s">
        <v>77</v>
      </c>
      <c r="C24" t="s">
        <v>84</v>
      </c>
    </row>
    <row r="25" spans="1:4" x14ac:dyDescent="0.2">
      <c r="A25" t="s">
        <v>80</v>
      </c>
      <c r="B25" s="3" t="s">
        <v>79</v>
      </c>
      <c r="C25" t="s">
        <v>84</v>
      </c>
    </row>
    <row r="26" spans="1:4" x14ac:dyDescent="0.2">
      <c r="A26" t="s">
        <v>82</v>
      </c>
      <c r="B26" s="3" t="s">
        <v>81</v>
      </c>
      <c r="C26" t="s">
        <v>84</v>
      </c>
    </row>
    <row r="27" spans="1:4" x14ac:dyDescent="0.2">
      <c r="A27" t="s">
        <v>85</v>
      </c>
      <c r="B27" s="3" t="s">
        <v>86</v>
      </c>
      <c r="C27" t="s">
        <v>84</v>
      </c>
    </row>
    <row r="28" spans="1:4" x14ac:dyDescent="0.2">
      <c r="A28" t="s">
        <v>88</v>
      </c>
      <c r="B28" s="3" t="s">
        <v>87</v>
      </c>
      <c r="C28" t="s">
        <v>84</v>
      </c>
    </row>
    <row r="29" spans="1:4" x14ac:dyDescent="0.2">
      <c r="A29" t="s">
        <v>90</v>
      </c>
      <c r="B29" s="3" t="s">
        <v>89</v>
      </c>
      <c r="C29" t="s">
        <v>84</v>
      </c>
    </row>
    <row r="30" spans="1:4" x14ac:dyDescent="0.2">
      <c r="A30" t="s">
        <v>92</v>
      </c>
      <c r="B30" s="3" t="s">
        <v>91</v>
      </c>
      <c r="C30" t="s">
        <v>93</v>
      </c>
    </row>
    <row r="31" spans="1:4" x14ac:dyDescent="0.2">
      <c r="A31" t="s">
        <v>95</v>
      </c>
      <c r="B31" s="3" t="s">
        <v>94</v>
      </c>
      <c r="C31" t="s">
        <v>84</v>
      </c>
      <c r="D31" t="s">
        <v>96</v>
      </c>
    </row>
    <row r="32" spans="1:4" x14ac:dyDescent="0.2">
      <c r="A32" t="s">
        <v>98</v>
      </c>
      <c r="B32" s="3" t="s">
        <v>97</v>
      </c>
      <c r="C32" t="s">
        <v>84</v>
      </c>
    </row>
    <row r="33" spans="1:3" x14ac:dyDescent="0.2">
      <c r="A33" t="s">
        <v>100</v>
      </c>
      <c r="B33" s="3" t="s">
        <v>99</v>
      </c>
      <c r="C33" t="s">
        <v>84</v>
      </c>
    </row>
    <row r="34" spans="1:3" x14ac:dyDescent="0.2">
      <c r="A34" t="s">
        <v>102</v>
      </c>
      <c r="B34" s="3" t="s">
        <v>101</v>
      </c>
      <c r="C34" t="s">
        <v>84</v>
      </c>
    </row>
    <row r="35" spans="1:3" x14ac:dyDescent="0.2">
      <c r="A35" t="s">
        <v>104</v>
      </c>
      <c r="B35" s="3" t="s">
        <v>103</v>
      </c>
      <c r="C35" t="s">
        <v>84</v>
      </c>
    </row>
    <row r="36" spans="1:3" x14ac:dyDescent="0.2">
      <c r="A36" t="s">
        <v>106</v>
      </c>
      <c r="B36" s="3" t="s">
        <v>105</v>
      </c>
      <c r="C36" t="s">
        <v>84</v>
      </c>
    </row>
    <row r="37" spans="1:3" x14ac:dyDescent="0.2">
      <c r="A37" t="s">
        <v>108</v>
      </c>
      <c r="B37" s="3" t="s">
        <v>107</v>
      </c>
      <c r="C37" t="s">
        <v>84</v>
      </c>
    </row>
    <row r="38" spans="1:3" x14ac:dyDescent="0.2">
      <c r="A38" t="s">
        <v>110</v>
      </c>
      <c r="B38" s="3" t="s">
        <v>109</v>
      </c>
      <c r="C38" t="s">
        <v>84</v>
      </c>
    </row>
  </sheetData>
  <hyperlinks>
    <hyperlink ref="B4" r:id="rId1" xr:uid="{B9AC7C8C-F720-7244-9388-8DB76CEFDB3E}"/>
    <hyperlink ref="B5" r:id="rId2" xr:uid="{92F128E1-C9D3-4A45-90C3-CACBC0B5A47B}"/>
    <hyperlink ref="B2" r:id="rId3" xr:uid="{A82B42FD-505F-D544-AF52-E9653B054AEE}"/>
    <hyperlink ref="B3" r:id="rId4" xr:uid="{CE1E7866-C716-9246-A357-3DE94BA9E2D8}"/>
    <hyperlink ref="B6" r:id="rId5" xr:uid="{439CC8B0-6C65-1643-9964-E35896D598A0}"/>
    <hyperlink ref="B7" r:id="rId6" xr:uid="{39EC3307-B60D-C143-9E98-19958BCAC42B}"/>
    <hyperlink ref="B8" r:id="rId7" xr:uid="{22550EB0-2C31-634B-A970-D4E52DADDF4F}"/>
    <hyperlink ref="B9" r:id="rId8" xr:uid="{2FDA3101-356A-ED4B-BF8D-A93EF7A3AEB0}"/>
    <hyperlink ref="B10" r:id="rId9" xr:uid="{D80AFE17-556B-204D-BBFA-8EBAFB1B6150}"/>
    <hyperlink ref="B11" r:id="rId10" xr:uid="{0AEBEA52-42D9-7344-BF60-E7CEF34E9351}"/>
    <hyperlink ref="B12" r:id="rId11" xr:uid="{7C3EA103-CF89-FF4D-AEAF-1E2869E54EBA}"/>
    <hyperlink ref="B13" r:id="rId12" xr:uid="{665B55EB-5CBD-7649-937A-C0C6F6637882}"/>
    <hyperlink ref="B14" r:id="rId13" xr:uid="{642314BC-A5B8-8249-8315-102B41E5A75B}"/>
    <hyperlink ref="B15" r:id="rId14" xr:uid="{C08A2046-23B3-4446-B878-6D5D67DAB544}"/>
    <hyperlink ref="B16" r:id="rId15" xr:uid="{FDC330CD-92F3-3144-BF93-8B19C2F04998}"/>
    <hyperlink ref="B17" r:id="rId16" xr:uid="{E070006C-B418-8B45-B25E-EF31475607AE}"/>
    <hyperlink ref="B18" r:id="rId17" xr:uid="{038ABFED-8323-8F42-AF39-38D5FA31ECC2}"/>
    <hyperlink ref="B19" r:id="rId18" xr:uid="{E8B5E6C4-E33F-7C44-A3B2-F3E9B4E46EA5}"/>
    <hyperlink ref="B20" r:id="rId19" xr:uid="{AAD4A3C0-83B3-9A43-BC87-28582BBF3145}"/>
    <hyperlink ref="B21" r:id="rId20" xr:uid="{5F441A6A-3AC8-6948-BED0-61C82464D153}"/>
    <hyperlink ref="B22" r:id="rId21" xr:uid="{E4A34E62-11BC-8B45-A219-E97696F40718}"/>
    <hyperlink ref="B23" r:id="rId22" xr:uid="{7F05FAD9-F6DE-574A-8E2B-C3D8C251A1FF}"/>
    <hyperlink ref="B24" r:id="rId23" xr:uid="{3DB5954B-2507-EB42-B802-00E9E0A358AF}"/>
    <hyperlink ref="B25" r:id="rId24" xr:uid="{1869D0D1-8870-C143-848E-D34EF510D5EA}"/>
    <hyperlink ref="B26" r:id="rId25" xr:uid="{C29652EC-2FE1-DE40-96EE-C24E9BA076F5}"/>
    <hyperlink ref="B27" r:id="rId26" xr:uid="{51379079-37FA-654B-95F8-540FD075387F}"/>
    <hyperlink ref="B28" r:id="rId27" xr:uid="{8328C7B1-8DC1-2A48-B024-F9FD5E8E7C07}"/>
    <hyperlink ref="B29" r:id="rId28" xr:uid="{177A4DA3-CEAA-2D4E-B7EF-BAB9C991244F}"/>
    <hyperlink ref="B30" r:id="rId29" xr:uid="{56BAF784-EA0D-4740-8633-76212131C640}"/>
    <hyperlink ref="B31" r:id="rId30" xr:uid="{59375118-7501-464A-AB65-569AEC7F2E40}"/>
    <hyperlink ref="B32" r:id="rId31" xr:uid="{02F61CA8-937A-3D40-A856-2F9BEFF50CA4}"/>
    <hyperlink ref="B33" r:id="rId32" xr:uid="{E411F892-9323-2B41-AECB-EC74BFED9A60}"/>
    <hyperlink ref="B34" r:id="rId33" xr:uid="{9494EA86-171D-B443-A63D-7A7651DB453D}"/>
    <hyperlink ref="B35" r:id="rId34" xr:uid="{CAC16BAC-00C4-3A4F-B265-1850B3533B62}"/>
    <hyperlink ref="B36" r:id="rId35" xr:uid="{5EC3BC4F-A6CF-1245-8F8E-1FDCE6E6DAAA}"/>
    <hyperlink ref="B37" r:id="rId36" xr:uid="{FCD60CA3-D085-6744-B37C-61833F849CC6}"/>
    <hyperlink ref="B38" r:id="rId37" xr:uid="{2C8FC6CE-557F-E941-B299-CD4D0B335E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7BAE-2FA6-7C4C-9014-606DC5BCCE00}">
  <dimension ref="C7:F12"/>
  <sheetViews>
    <sheetView workbookViewId="0">
      <selection activeCell="C7" sqref="C7:F12"/>
    </sheetView>
  </sheetViews>
  <sheetFormatPr baseColWidth="10" defaultRowHeight="16" x14ac:dyDescent="0.2"/>
  <cols>
    <col min="3" max="3" width="26.1640625" bestFit="1" customWidth="1"/>
    <col min="4" max="4" width="16.83203125" bestFit="1" customWidth="1"/>
    <col min="5" max="5" width="21" bestFit="1" customWidth="1"/>
    <col min="6" max="6" width="20.33203125" bestFit="1" customWidth="1"/>
  </cols>
  <sheetData>
    <row r="7" spans="3:6" x14ac:dyDescent="0.2">
      <c r="C7" s="9"/>
      <c r="D7" s="10"/>
      <c r="E7" s="11" t="s">
        <v>23</v>
      </c>
      <c r="F7" s="11"/>
    </row>
    <row r="8" spans="3:6" x14ac:dyDescent="0.2">
      <c r="C8" s="7" t="s">
        <v>14</v>
      </c>
      <c r="D8" s="7" t="s">
        <v>15</v>
      </c>
      <c r="E8" s="7" t="s">
        <v>16</v>
      </c>
      <c r="F8" s="7" t="s">
        <v>17</v>
      </c>
    </row>
    <row r="9" spans="3:6" x14ac:dyDescent="0.2">
      <c r="C9" s="5" t="s">
        <v>18</v>
      </c>
      <c r="D9" s="6" t="s">
        <v>19</v>
      </c>
      <c r="E9" s="6">
        <v>79</v>
      </c>
      <c r="F9" s="6">
        <v>4</v>
      </c>
    </row>
    <row r="10" spans="3:6" x14ac:dyDescent="0.2">
      <c r="C10" s="5" t="s">
        <v>13</v>
      </c>
      <c r="D10" s="6" t="s">
        <v>20</v>
      </c>
      <c r="E10" s="6">
        <v>1.6</v>
      </c>
      <c r="F10" s="6">
        <v>0.5</v>
      </c>
    </row>
    <row r="11" spans="3:6" x14ac:dyDescent="0.2">
      <c r="C11" s="5" t="s">
        <v>21</v>
      </c>
      <c r="D11" s="6" t="s">
        <v>22</v>
      </c>
      <c r="E11" s="6">
        <v>0.95</v>
      </c>
      <c r="F11" s="6">
        <v>0.5</v>
      </c>
    </row>
    <row r="12" spans="3:6" x14ac:dyDescent="0.2">
      <c r="C12" s="8"/>
      <c r="D12" s="8"/>
      <c r="E12" s="8"/>
      <c r="F12" s="7">
        <f>SUM(F9:F11)</f>
        <v>5</v>
      </c>
    </row>
  </sheetData>
  <mergeCells count="3">
    <mergeCell ref="C12:E12"/>
    <mergeCell ref="E7:F7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EA92-0A82-5749-9C12-EDFE8F4B10ED}">
  <dimension ref="D2:F11"/>
  <sheetViews>
    <sheetView workbookViewId="0">
      <selection activeCell="D2" sqref="D2:F11"/>
    </sheetView>
  </sheetViews>
  <sheetFormatPr baseColWidth="10" defaultRowHeight="16" x14ac:dyDescent="0.2"/>
  <cols>
    <col min="5" max="5" width="58.6640625" customWidth="1"/>
    <col min="6" max="6" width="63.83203125" customWidth="1"/>
  </cols>
  <sheetData>
    <row r="2" spans="4:6" ht="51" customHeight="1" x14ac:dyDescent="0.2">
      <c r="D2" s="16" t="s">
        <v>38</v>
      </c>
      <c r="E2" s="14" t="s">
        <v>35</v>
      </c>
      <c r="F2" s="14" t="s">
        <v>34</v>
      </c>
    </row>
    <row r="3" spans="4:6" ht="34" x14ac:dyDescent="0.2">
      <c r="D3" s="16"/>
      <c r="E3" s="14" t="s">
        <v>31</v>
      </c>
      <c r="F3" s="14" t="s">
        <v>36</v>
      </c>
    </row>
    <row r="4" spans="4:6" ht="34" x14ac:dyDescent="0.2">
      <c r="D4" s="16"/>
      <c r="E4" s="14" t="s">
        <v>37</v>
      </c>
      <c r="F4" s="14" t="s">
        <v>39</v>
      </c>
    </row>
    <row r="5" spans="4:6" x14ac:dyDescent="0.2">
      <c r="D5" s="15"/>
      <c r="E5" s="12" t="s">
        <v>24</v>
      </c>
      <c r="F5" s="12" t="s">
        <v>25</v>
      </c>
    </row>
    <row r="6" spans="4:6" x14ac:dyDescent="0.2">
      <c r="D6" s="13" t="s">
        <v>26</v>
      </c>
      <c r="E6" s="5" t="s">
        <v>28</v>
      </c>
      <c r="F6" s="5" t="s">
        <v>29</v>
      </c>
    </row>
    <row r="7" spans="4:6" ht="19" customHeight="1" x14ac:dyDescent="0.2">
      <c r="D7" s="13"/>
      <c r="E7" s="14" t="s">
        <v>32</v>
      </c>
      <c r="F7" s="14" t="s">
        <v>33</v>
      </c>
    </row>
    <row r="8" spans="4:6" x14ac:dyDescent="0.2">
      <c r="D8" s="13"/>
      <c r="E8" s="5"/>
      <c r="F8" s="5"/>
    </row>
    <row r="9" spans="4:6" x14ac:dyDescent="0.2">
      <c r="D9" s="13" t="s">
        <v>27</v>
      </c>
      <c r="E9" s="5" t="s">
        <v>30</v>
      </c>
      <c r="F9" s="5" t="s">
        <v>40</v>
      </c>
    </row>
    <row r="10" spans="4:6" x14ac:dyDescent="0.2">
      <c r="D10" s="13"/>
      <c r="E10" s="5"/>
      <c r="F10" s="5"/>
    </row>
    <row r="11" spans="4:6" x14ac:dyDescent="0.2">
      <c r="D11" s="13"/>
      <c r="E11" s="5"/>
      <c r="F11" s="5"/>
    </row>
  </sheetData>
  <mergeCells count="3">
    <mergeCell ref="D6:D8"/>
    <mergeCell ref="D9:D11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Renju Nair</dc:creator>
  <cp:lastModifiedBy>Renju Nair</cp:lastModifiedBy>
  <dcterms:created xsi:type="dcterms:W3CDTF">2025-08-30T18:35:34Z</dcterms:created>
  <dcterms:modified xsi:type="dcterms:W3CDTF">2025-09-06T15:10:02Z</dcterms:modified>
</cp:coreProperties>
</file>